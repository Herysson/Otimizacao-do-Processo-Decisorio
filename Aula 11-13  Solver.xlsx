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45" activeTab="3"/>
  </bookViews>
  <sheets>
    <sheet name="Relatório de Respostas 1" sheetId="2" r:id="rId1"/>
    <sheet name="Relatório de Sensibilidade 1" sheetId="3" r:id="rId2"/>
    <sheet name="Relatório de Limites 1" sheetId="4" r:id="rId3"/>
    <sheet name="Mestre Malte" sheetId="1" r:id="rId4"/>
  </sheets>
  <definedNames>
    <definedName name="solver_adj" localSheetId="3" hidden="1">'Mestre Malte'!$B$2:$E$2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'Mestre Malte'!$F$5:$F$7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'Mestre Malte'!$F$2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hs1" localSheetId="3" hidden="1">'Mestre Malte'!$H$5:$H$7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5" i="1"/>
  <c r="F2" i="1"/>
</calcChain>
</file>

<file path=xl/sharedStrings.xml><?xml version="1.0" encoding="utf-8"?>
<sst xmlns="http://schemas.openxmlformats.org/spreadsheetml/2006/main" count="140" uniqueCount="73">
  <si>
    <t>X1</t>
  </si>
  <si>
    <t>X2</t>
  </si>
  <si>
    <t>X3</t>
  </si>
  <si>
    <t>X4</t>
  </si>
  <si>
    <t>Solução</t>
  </si>
  <si>
    <t>Coeficente</t>
  </si>
  <si>
    <t>Restrição 1</t>
  </si>
  <si>
    <t>Restrição 2</t>
  </si>
  <si>
    <t>Restrição 3</t>
  </si>
  <si>
    <t>&lt;=</t>
  </si>
  <si>
    <t>MAX</t>
  </si>
  <si>
    <t>Microsoft Excel 16.0 Relatório de Respostas</t>
  </si>
  <si>
    <t>Planilha: [Pasta1]Mestre Malte</t>
  </si>
  <si>
    <t>Relatório Criado: 14/11/2025 14:13:37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</si>
  <si>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</si>
  <si>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</si>
  <si>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</si>
  <si>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0,015 Segundos.</t>
  </si>
  <si>
    <t>Iterações: 2 Subproblemas: 0</t>
  </si>
  <si>
    <t>Opções do Solver</t>
  </si>
  <si>
    <t>Tempo Máx. Ilimitado,  Iterações Ilimitado, Precision 0,000001, Usar Escala Automática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</si>
  <si>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</si>
  <si>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</si>
  <si>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</si>
  <si>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</si>
  <si>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</si>
  <si>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</si>
  <si>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Células Variáveis</t>
  </si>
  <si>
    <t>Número Inteiro</t>
  </si>
  <si>
    <t>Restrições</t>
  </si>
  <si>
    <t>Valor da Célula</t>
  </si>
  <si>
    <t>Fórmula</t>
  </si>
  <si>
    <t>Status</t>
  </si>
  <si>
    <t>Margem de Atraso</t>
  </si>
  <si>
    <t>$F$2</t>
  </si>
  <si>
    <t>$B$2</t>
  </si>
  <si>
    <t>Solução X1</t>
  </si>
  <si>
    <t>Conting.</t>
  </si>
  <si>
    <t>$C$2</t>
  </si>
  <si>
    <t>Solução X2</t>
  </si>
  <si>
    <t>$D$2</t>
  </si>
  <si>
    <t>Solução X3</t>
  </si>
  <si>
    <t>$E$2</t>
  </si>
  <si>
    <t>Solução X4</t>
  </si>
  <si>
    <t>$F$5</t>
  </si>
  <si>
    <t>$F$5&lt;=$H$5</t>
  </si>
  <si>
    <t>Associação</t>
  </si>
  <si>
    <t>$F$6</t>
  </si>
  <si>
    <t>$F$6&lt;=$H$6</t>
  </si>
  <si>
    <t>$F$7</t>
  </si>
  <si>
    <t>$F$7&lt;=$H$7</t>
  </si>
  <si>
    <t>Não-associação</t>
  </si>
  <si>
    <t>Microsoft Excel 16.0 Relatório de Sensibilidade</t>
  </si>
  <si>
    <t>Final</t>
  </si>
  <si>
    <t>Valor</t>
  </si>
  <si>
    <t>Reduzido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</si>
  <si>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</si>
  <si>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</si>
  <si>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</si>
  <si>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</si>
  <si>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</si>
  <si>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</si>
  <si>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</si>
  <si>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</si>
  <si>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</si>
  <si>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</si>
  <si>
    <t>Microsoft Excel 16.0 Relatório de Limites</t>
  </si>
  <si>
    <t>Relatório Criado: 14/11/2025 14:13:38</t>
  </si>
  <si>
    <t>Variável</t>
  </si>
  <si>
    <t>Inferior</t>
  </si>
  <si>
    <t>Limite</t>
  </si>
  <si>
    <t>Resultado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</si>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</sst>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76200</xdr:rowOff>
    </xdr:from>
    <xdr:ext cx="2857500" cy="264560"/>
    <xdr:sp macro="" textlink="">
      <xdr:nvSpPr>
        <xdr:cNvPr id="2" name="CaixaDeTexto 1"/>
        <xdr:cNvSpPr txBox="1"/>
      </xdr:nvSpPr>
      <xdr:spPr>
        <a:xfrm>
          <a:off x="6096000" y="266700"/>
          <a:ext cx="285750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4" name="CaixaDeTexto 3"/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6" name="CaixaDeTexto 5"/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9</xdr:col>
      <xdr:colOff>457200</xdr:colOff>
      <xdr:row>9</xdr:row>
      <xdr:rowOff>114300</xdr:rowOff>
    </xdr:from>
    <xdr:ext cx="65" cy="172227"/>
    <xdr:sp macro="" textlink="">
      <xdr:nvSpPr>
        <xdr:cNvPr id="7" name="CaixaDeTexto 6"/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8</xdr:col>
      <xdr:colOff>9525</xdr:colOff>
      <xdr:row>0</xdr:row>
      <xdr:rowOff>9525</xdr:rowOff>
    </xdr:from>
    <xdr:to>
      <xdr:col>14</xdr:col>
      <xdr:colOff>570990</xdr:colOff>
      <xdr:row>8</xdr:row>
      <xdr:rowOff>142668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5" y="9525"/>
          <a:ext cx="4076190" cy="1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opLeftCell="A13" workbookViewId="0"/>
  </sheetViews>
  <sheetFormatPr defaultRowHeight="15" x14ac:dyDescent="0.25"/>
  <cols>
    <col min="1" max="1" width="2.28515625" customWidth="1"/>
    <col min="2" max="2" width="6.5703125" customWidth="1"/>
    <col min="3" max="3" width="10.5703125" customWidth="1"/>
    <col min="4" max="4" width="14.42578125" bestFit="1" customWidth="1"/>
    <col min="5" max="5" width="11.28515625" bestFit="1" customWidth="1"/>
    <col min="6" max="6" width="14.85546875" bestFit="1" customWidth="1"/>
    <col min="7" max="7" width="17.5703125" bestFit="1" customWidth="1"/>
  </cols>
  <sheetData>
    <row r="1" spans="1:5" x14ac:dyDescent="0.25">
      <c r="A1" s="5" t="s">
        <v>11</v>
      </c>
    </row>
    <row r="2" spans="1:5" x14ac:dyDescent="0.25">
      <c r="A2" s="5" t="s">
        <v>12</v>
      </c>
    </row>
    <row r="3" spans="1:5" x14ac:dyDescent="0.25">
      <c r="A3" s="5" t="s">
        <v>13</v>
      </c>
    </row>
    <row r="4" spans="1:5" x14ac:dyDescent="0.25">
      <c r="A4" s="5" t="s">
        <v>14</v>
      </c>
    </row>
    <row r="5" spans="1:5" x14ac:dyDescent="0.25">
      <c r="A5" s="5" t="s">
        <v>15</v>
      </c>
    </row>
    <row r="6" spans="1:5" x14ac:dyDescent="0.25">
      <c r="A6" s="5"/>
      <c r="B6" t="s">
        <v>16</v>
      </c>
    </row>
    <row r="7" spans="1:5" x14ac:dyDescent="0.25">
      <c r="A7" s="5"/>
      <c r="B7" t="s">
        <v>17</v>
      </c>
    </row>
    <row r="8" spans="1:5" x14ac:dyDescent="0.25">
      <c r="A8" s="5"/>
      <c r="B8" t="s">
        <v>18</v>
      </c>
    </row>
    <row r="9" spans="1:5" x14ac:dyDescent="0.25">
      <c r="A9" s="5" t="s">
        <v>19</v>
      </c>
    </row>
    <row r="10" spans="1:5" x14ac:dyDescent="0.25">
      <c r="B10" t="s">
        <v>20</v>
      </c>
    </row>
    <row r="11" spans="1:5" x14ac:dyDescent="0.25">
      <c r="B11" t="s">
        <v>21</v>
      </c>
    </row>
    <row r="14" spans="1:5" ht="15.75" thickBot="1" x14ac:dyDescent="0.3">
      <c r="A14" t="s">
        <v>22</v>
      </c>
    </row>
    <row r="15" spans="1:5" ht="15.75" thickBot="1" x14ac:dyDescent="0.3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5.75" thickBot="1" x14ac:dyDescent="0.3">
      <c r="B16" s="6" t="s">
        <v>34</v>
      </c>
      <c r="C16" s="6" t="s">
        <v>4</v>
      </c>
      <c r="D16" s="9">
        <v>30000</v>
      </c>
      <c r="E16" s="9">
        <v>30000</v>
      </c>
    </row>
    <row r="19" spans="1:7" ht="15.75" thickBot="1" x14ac:dyDescent="0.3">
      <c r="A19" t="s">
        <v>27</v>
      </c>
    </row>
    <row r="20" spans="1:7" ht="15.75" thickBot="1" x14ac:dyDescent="0.3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7" x14ac:dyDescent="0.25">
      <c r="B21" s="8" t="s">
        <v>35</v>
      </c>
      <c r="C21" s="8" t="s">
        <v>36</v>
      </c>
      <c r="D21" s="10">
        <v>30</v>
      </c>
      <c r="E21" s="10">
        <v>30</v>
      </c>
      <c r="F21" s="8" t="s">
        <v>37</v>
      </c>
    </row>
    <row r="22" spans="1:7" x14ac:dyDescent="0.25">
      <c r="B22" s="8" t="s">
        <v>38</v>
      </c>
      <c r="C22" s="8" t="s">
        <v>39</v>
      </c>
      <c r="D22" s="10">
        <v>0</v>
      </c>
      <c r="E22" s="10">
        <v>0</v>
      </c>
      <c r="F22" s="8" t="s">
        <v>37</v>
      </c>
    </row>
    <row r="23" spans="1:7" x14ac:dyDescent="0.25">
      <c r="B23" s="8" t="s">
        <v>40</v>
      </c>
      <c r="C23" s="8" t="s">
        <v>41</v>
      </c>
      <c r="D23" s="10">
        <v>0</v>
      </c>
      <c r="E23" s="10">
        <v>0</v>
      </c>
      <c r="F23" s="8" t="s">
        <v>37</v>
      </c>
    </row>
    <row r="24" spans="1:7" ht="15.75" thickBot="1" x14ac:dyDescent="0.3">
      <c r="B24" s="6" t="s">
        <v>42</v>
      </c>
      <c r="C24" s="6" t="s">
        <v>43</v>
      </c>
      <c r="D24" s="9">
        <v>30</v>
      </c>
      <c r="E24" s="9">
        <v>30</v>
      </c>
      <c r="F24" s="6" t="s">
        <v>37</v>
      </c>
    </row>
    <row r="27" spans="1:7" ht="15.75" thickBot="1" x14ac:dyDescent="0.3">
      <c r="A27" t="s">
        <v>29</v>
      </c>
    </row>
    <row r="28" spans="1:7" ht="15.75" thickBot="1" x14ac:dyDescent="0.3">
      <c r="B28" s="7" t="s">
        <v>23</v>
      </c>
      <c r="C28" s="7" t="s">
        <v>24</v>
      </c>
      <c r="D28" s="7" t="s">
        <v>30</v>
      </c>
      <c r="E28" s="7" t="s">
        <v>31</v>
      </c>
      <c r="F28" s="7" t="s">
        <v>32</v>
      </c>
      <c r="G28" s="7" t="s">
        <v>33</v>
      </c>
    </row>
    <row r="29" spans="1:7" x14ac:dyDescent="0.25">
      <c r="B29" s="8" t="s">
        <v>44</v>
      </c>
      <c r="C29" s="8" t="s">
        <v>6</v>
      </c>
      <c r="D29" s="10">
        <v>300</v>
      </c>
      <c r="E29" s="8" t="s">
        <v>45</v>
      </c>
      <c r="F29" s="8" t="s">
        <v>46</v>
      </c>
      <c r="G29" s="8">
        <v>0</v>
      </c>
    </row>
    <row r="30" spans="1:7" x14ac:dyDescent="0.25">
      <c r="B30" s="8" t="s">
        <v>47</v>
      </c>
      <c r="C30" s="8" t="s">
        <v>7</v>
      </c>
      <c r="D30" s="10">
        <v>120</v>
      </c>
      <c r="E30" s="8" t="s">
        <v>48</v>
      </c>
      <c r="F30" s="8" t="s">
        <v>46</v>
      </c>
      <c r="G30" s="8">
        <v>0</v>
      </c>
    </row>
    <row r="31" spans="1:7" ht="15.75" thickBot="1" x14ac:dyDescent="0.3">
      <c r="B31" s="6" t="s">
        <v>49</v>
      </c>
      <c r="C31" s="6" t="s">
        <v>8</v>
      </c>
      <c r="D31" s="9">
        <v>150</v>
      </c>
      <c r="E31" s="6" t="s">
        <v>50</v>
      </c>
      <c r="F31" s="6" t="s">
        <v>51</v>
      </c>
      <c r="G31" s="6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/>
  </sheetViews>
  <sheetFormatPr defaultRowHeight="15" x14ac:dyDescent="0.25"/>
  <cols>
    <col min="1" max="1" width="2.28515625" customWidth="1"/>
    <col min="2" max="2" width="6.5703125" customWidth="1"/>
    <col min="3" max="3" width="10.5703125" bestFit="1" customWidth="1"/>
    <col min="4" max="4" width="5.7109375" customWidth="1"/>
    <col min="5" max="5" width="9.28515625" bestFit="1" customWidth="1"/>
    <col min="6" max="6" width="11.28515625" bestFit="1" customWidth="1"/>
    <col min="7" max="7" width="12" bestFit="1" customWidth="1"/>
    <col min="8" max="8" width="9.85546875" bestFit="1" customWidth="1"/>
  </cols>
  <sheetData>
    <row r="1" spans="1:8" x14ac:dyDescent="0.25">
      <c r="A1" s="5" t="s">
        <v>52</v>
      </c>
    </row>
    <row r="2" spans="1:8" x14ac:dyDescent="0.25">
      <c r="A2" s="5" t="s">
        <v>12</v>
      </c>
    </row>
    <row r="3" spans="1:8" x14ac:dyDescent="0.25">
      <c r="A3" s="5" t="s">
        <v>13</v>
      </c>
    </row>
    <row r="6" spans="1:8" ht="15.75" thickBot="1" x14ac:dyDescent="0.3">
      <c r="A6" t="s">
        <v>27</v>
      </c>
    </row>
    <row r="7" spans="1:8" x14ac:dyDescent="0.25">
      <c r="B7" s="11"/>
      <c r="C7" s="11"/>
      <c r="D7" s="11" t="s">
        <v>53</v>
      </c>
      <c r="E7" s="11" t="s">
        <v>55</v>
      </c>
      <c r="F7" s="11" t="s">
        <v>57</v>
      </c>
      <c r="G7" s="11" t="s">
        <v>59</v>
      </c>
      <c r="H7" s="11" t="s">
        <v>59</v>
      </c>
    </row>
    <row r="8" spans="1:8" ht="15.75" thickBot="1" x14ac:dyDescent="0.3">
      <c r="B8" s="12" t="s">
        <v>23</v>
      </c>
      <c r="C8" s="12" t="s">
        <v>24</v>
      </c>
      <c r="D8" s="12" t="s">
        <v>54</v>
      </c>
      <c r="E8" s="12" t="s">
        <v>56</v>
      </c>
      <c r="F8" s="12" t="s">
        <v>58</v>
      </c>
      <c r="G8" s="12" t="s">
        <v>60</v>
      </c>
      <c r="H8" s="12" t="s">
        <v>61</v>
      </c>
    </row>
    <row r="9" spans="1:8" x14ac:dyDescent="0.25">
      <c r="B9" s="8" t="s">
        <v>35</v>
      </c>
      <c r="C9" s="8" t="s">
        <v>36</v>
      </c>
      <c r="D9" s="8">
        <v>30</v>
      </c>
      <c r="E9" s="8">
        <v>0</v>
      </c>
      <c r="F9" s="8">
        <v>600</v>
      </c>
      <c r="G9" s="8">
        <v>600</v>
      </c>
      <c r="H9" s="8">
        <v>0</v>
      </c>
    </row>
    <row r="10" spans="1:8" x14ac:dyDescent="0.25">
      <c r="B10" s="8" t="s">
        <v>38</v>
      </c>
      <c r="C10" s="8" t="s">
        <v>39</v>
      </c>
      <c r="D10" s="8">
        <v>0</v>
      </c>
      <c r="E10" s="8">
        <v>0</v>
      </c>
      <c r="F10" s="8">
        <v>500</v>
      </c>
      <c r="G10" s="8">
        <v>0</v>
      </c>
      <c r="H10" s="8">
        <v>1E+30</v>
      </c>
    </row>
    <row r="11" spans="1:8" x14ac:dyDescent="0.25">
      <c r="B11" s="8" t="s">
        <v>40</v>
      </c>
      <c r="C11" s="8" t="s">
        <v>41</v>
      </c>
      <c r="D11" s="8">
        <v>0</v>
      </c>
      <c r="E11" s="8">
        <v>-50</v>
      </c>
      <c r="F11" s="8">
        <v>350</v>
      </c>
      <c r="G11" s="8">
        <v>50</v>
      </c>
      <c r="H11" s="8">
        <v>1E+30</v>
      </c>
    </row>
    <row r="12" spans="1:8" ht="15.75" thickBot="1" x14ac:dyDescent="0.3">
      <c r="B12" s="6" t="s">
        <v>42</v>
      </c>
      <c r="C12" s="6" t="s">
        <v>43</v>
      </c>
      <c r="D12" s="6">
        <v>30</v>
      </c>
      <c r="E12" s="6">
        <v>0</v>
      </c>
      <c r="F12" s="6">
        <v>400</v>
      </c>
      <c r="G12" s="6">
        <v>0</v>
      </c>
      <c r="H12" s="6">
        <v>0</v>
      </c>
    </row>
    <row r="14" spans="1:8" ht="15.75" thickBot="1" x14ac:dyDescent="0.3">
      <c r="A14" t="s">
        <v>29</v>
      </c>
    </row>
    <row r="15" spans="1:8" x14ac:dyDescent="0.25">
      <c r="B15" s="11"/>
      <c r="C15" s="11"/>
      <c r="D15" s="11" t="s">
        <v>53</v>
      </c>
      <c r="E15" s="11" t="s">
        <v>62</v>
      </c>
      <c r="F15" s="11" t="s">
        <v>64</v>
      </c>
      <c r="G15" s="11" t="s">
        <v>59</v>
      </c>
      <c r="H15" s="11" t="s">
        <v>59</v>
      </c>
    </row>
    <row r="16" spans="1:8" ht="15.75" thickBot="1" x14ac:dyDescent="0.3">
      <c r="B16" s="12" t="s">
        <v>23</v>
      </c>
      <c r="C16" s="12" t="s">
        <v>24</v>
      </c>
      <c r="D16" s="12" t="s">
        <v>54</v>
      </c>
      <c r="E16" s="12" t="s">
        <v>63</v>
      </c>
      <c r="F16" s="12" t="s">
        <v>65</v>
      </c>
      <c r="G16" s="12" t="s">
        <v>60</v>
      </c>
      <c r="H16" s="12" t="s">
        <v>61</v>
      </c>
    </row>
    <row r="17" spans="2:8" x14ac:dyDescent="0.25">
      <c r="B17" s="8" t="s">
        <v>44</v>
      </c>
      <c r="C17" s="8" t="s">
        <v>6</v>
      </c>
      <c r="D17" s="8">
        <v>300</v>
      </c>
      <c r="E17" s="8">
        <v>100</v>
      </c>
      <c r="F17" s="8">
        <v>300</v>
      </c>
      <c r="G17" s="8">
        <v>8.5714285714285712</v>
      </c>
      <c r="H17" s="8">
        <v>60</v>
      </c>
    </row>
    <row r="18" spans="2:8" x14ac:dyDescent="0.25">
      <c r="B18" s="8" t="s">
        <v>47</v>
      </c>
      <c r="C18" s="8" t="s">
        <v>7</v>
      </c>
      <c r="D18" s="8">
        <v>120</v>
      </c>
      <c r="E18" s="8">
        <v>0</v>
      </c>
      <c r="F18" s="8">
        <v>120</v>
      </c>
      <c r="G18" s="8">
        <v>30</v>
      </c>
      <c r="H18" s="8">
        <v>5.9999999999999991</v>
      </c>
    </row>
    <row r="19" spans="2:8" ht="15.75" thickBot="1" x14ac:dyDescent="0.3">
      <c r="B19" s="6" t="s">
        <v>49</v>
      </c>
      <c r="C19" s="6" t="s">
        <v>8</v>
      </c>
      <c r="D19" s="6">
        <v>150</v>
      </c>
      <c r="E19" s="6">
        <v>0</v>
      </c>
      <c r="F19" s="6">
        <v>160</v>
      </c>
      <c r="G19" s="6">
        <v>1E+30</v>
      </c>
      <c r="H19" s="6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customWidth="1"/>
    <col min="3" max="3" width="8.28515625" customWidth="1"/>
    <col min="4" max="4" width="5.7109375" customWidth="1"/>
    <col min="5" max="5" width="2.28515625" customWidth="1"/>
    <col min="6" max="6" width="7.7109375" customWidth="1"/>
    <col min="7" max="7" width="9.85546875" bestFit="1" customWidth="1"/>
    <col min="8" max="8" width="2.28515625" customWidth="1"/>
    <col min="9" max="9" width="8.5703125" customWidth="1"/>
    <col min="10" max="10" width="9.85546875" bestFit="1" customWidth="1"/>
  </cols>
  <sheetData>
    <row r="1" spans="1:10" x14ac:dyDescent="0.25">
      <c r="A1" s="5" t="s">
        <v>66</v>
      </c>
    </row>
    <row r="2" spans="1:10" x14ac:dyDescent="0.25">
      <c r="A2" s="5" t="s">
        <v>12</v>
      </c>
    </row>
    <row r="3" spans="1:10" x14ac:dyDescent="0.25">
      <c r="A3" s="5" t="s">
        <v>67</v>
      </c>
    </row>
    <row r="5" spans="1:10" ht="15.75" thickBot="1" x14ac:dyDescent="0.3"/>
    <row r="6" spans="1:10" x14ac:dyDescent="0.25">
      <c r="B6" s="11"/>
      <c r="C6" s="11" t="s">
        <v>57</v>
      </c>
      <c r="D6" s="11"/>
    </row>
    <row r="7" spans="1:10" ht="15.75" thickBot="1" x14ac:dyDescent="0.3">
      <c r="B7" s="12" t="s">
        <v>23</v>
      </c>
      <c r="C7" s="12" t="s">
        <v>24</v>
      </c>
      <c r="D7" s="12" t="s">
        <v>54</v>
      </c>
    </row>
    <row r="8" spans="1:10" ht="15.75" thickBot="1" x14ac:dyDescent="0.3">
      <c r="B8" s="6" t="s">
        <v>34</v>
      </c>
      <c r="C8" s="6" t="s">
        <v>4</v>
      </c>
      <c r="D8" s="9">
        <v>30000</v>
      </c>
    </row>
    <row r="10" spans="1:10" ht="15.75" thickBot="1" x14ac:dyDescent="0.3"/>
    <row r="11" spans="1:10" x14ac:dyDescent="0.25">
      <c r="B11" s="11"/>
      <c r="C11" s="11" t="s">
        <v>68</v>
      </c>
      <c r="D11" s="11"/>
      <c r="F11" s="11" t="s">
        <v>69</v>
      </c>
      <c r="G11" s="11" t="s">
        <v>57</v>
      </c>
      <c r="I11" s="11" t="s">
        <v>72</v>
      </c>
      <c r="J11" s="11" t="s">
        <v>57</v>
      </c>
    </row>
    <row r="12" spans="1:10" ht="15.75" thickBot="1" x14ac:dyDescent="0.3">
      <c r="B12" s="12" t="s">
        <v>23</v>
      </c>
      <c r="C12" s="12" t="s">
        <v>24</v>
      </c>
      <c r="D12" s="12" t="s">
        <v>54</v>
      </c>
      <c r="F12" s="12" t="s">
        <v>70</v>
      </c>
      <c r="G12" s="12" t="s">
        <v>71</v>
      </c>
      <c r="I12" s="12" t="s">
        <v>70</v>
      </c>
      <c r="J12" s="12" t="s">
        <v>71</v>
      </c>
    </row>
    <row r="13" spans="1:10" x14ac:dyDescent="0.25">
      <c r="B13" s="8" t="s">
        <v>35</v>
      </c>
      <c r="C13" s="8" t="s">
        <v>36</v>
      </c>
      <c r="D13" s="10">
        <v>30</v>
      </c>
      <c r="F13" s="10">
        <v>0</v>
      </c>
      <c r="G13" s="10">
        <v>12000</v>
      </c>
      <c r="I13" s="10">
        <v>30</v>
      </c>
      <c r="J13" s="10">
        <v>30000</v>
      </c>
    </row>
    <row r="14" spans="1:10" x14ac:dyDescent="0.25">
      <c r="B14" s="8" t="s">
        <v>38</v>
      </c>
      <c r="C14" s="8" t="s">
        <v>39</v>
      </c>
      <c r="D14" s="10">
        <v>0</v>
      </c>
      <c r="F14" s="10">
        <v>0</v>
      </c>
      <c r="G14" s="10">
        <v>30000</v>
      </c>
      <c r="I14" s="10">
        <v>0</v>
      </c>
      <c r="J14" s="10">
        <v>30000</v>
      </c>
    </row>
    <row r="15" spans="1:10" x14ac:dyDescent="0.25">
      <c r="B15" s="8" t="s">
        <v>40</v>
      </c>
      <c r="C15" s="8" t="s">
        <v>41</v>
      </c>
      <c r="D15" s="10">
        <v>0</v>
      </c>
      <c r="F15" s="10">
        <v>0</v>
      </c>
      <c r="G15" s="10">
        <v>30000</v>
      </c>
      <c r="I15" s="10">
        <v>0</v>
      </c>
      <c r="J15" s="10">
        <v>30000</v>
      </c>
    </row>
    <row r="16" spans="1:10" ht="15.75" thickBot="1" x14ac:dyDescent="0.3">
      <c r="B16" s="6" t="s">
        <v>42</v>
      </c>
      <c r="C16" s="6" t="s">
        <v>43</v>
      </c>
      <c r="D16" s="9">
        <v>30</v>
      </c>
      <c r="F16" s="9">
        <v>0</v>
      </c>
      <c r="G16" s="9">
        <v>18000</v>
      </c>
      <c r="I16" s="9">
        <v>30</v>
      </c>
      <c r="J16" s="9">
        <v>30000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L17" sqref="L17"/>
    </sheetView>
  </sheetViews>
  <sheetFormatPr defaultRowHeight="15" x14ac:dyDescent="0.25"/>
  <cols>
    <col min="1" max="1" width="11" style="1" customWidth="1"/>
    <col min="2" max="4" width="4" style="1" bestFit="1" customWidth="1"/>
    <col min="5" max="5" width="7" style="1" customWidth="1"/>
    <col min="6" max="6" width="6" style="1" bestFit="1" customWidth="1"/>
    <col min="7" max="7" width="3" style="1" bestFit="1" customWidth="1"/>
    <col min="8" max="8" width="7" style="1" customWidth="1"/>
    <col min="9" max="9" width="7" customWidth="1"/>
  </cols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A2" s="1" t="s">
        <v>4</v>
      </c>
      <c r="B2" s="2">
        <v>30</v>
      </c>
      <c r="C2" s="2">
        <v>0</v>
      </c>
      <c r="D2" s="2">
        <v>0</v>
      </c>
      <c r="E2" s="2">
        <v>30</v>
      </c>
      <c r="F2" s="3">
        <f>SUMPRODUCT(B2:E2,B3:E3)</f>
        <v>30000</v>
      </c>
    </row>
    <row r="3" spans="1:8" x14ac:dyDescent="0.25">
      <c r="A3" s="1" t="s">
        <v>5</v>
      </c>
      <c r="B3" s="1">
        <v>600</v>
      </c>
      <c r="C3" s="1">
        <v>500</v>
      </c>
      <c r="D3" s="1">
        <v>350</v>
      </c>
      <c r="E3" s="1">
        <v>400</v>
      </c>
    </row>
    <row r="5" spans="1:8" x14ac:dyDescent="0.25">
      <c r="A5" s="1" t="s">
        <v>6</v>
      </c>
      <c r="B5" s="1">
        <v>6</v>
      </c>
      <c r="C5" s="1">
        <v>5</v>
      </c>
      <c r="D5" s="1">
        <v>4</v>
      </c>
      <c r="E5" s="1">
        <v>4</v>
      </c>
      <c r="F5" s="4">
        <f>SUMPRODUCT(B5:E5,$B$2:$E$2)</f>
        <v>300</v>
      </c>
      <c r="G5" s="1" t="s">
        <v>9</v>
      </c>
      <c r="H5" s="1">
        <v>300</v>
      </c>
    </row>
    <row r="6" spans="1:8" x14ac:dyDescent="0.25">
      <c r="A6" s="1" t="s">
        <v>7</v>
      </c>
      <c r="B6" s="1">
        <v>3</v>
      </c>
      <c r="C6" s="1">
        <v>2</v>
      </c>
      <c r="D6" s="1">
        <v>1</v>
      </c>
      <c r="E6" s="1">
        <v>1</v>
      </c>
      <c r="F6" s="4">
        <f t="shared" ref="F6:F7" si="0">SUMPRODUCT(B6:E6,$B$2:$E$2)</f>
        <v>120</v>
      </c>
      <c r="G6" s="1" t="s">
        <v>9</v>
      </c>
      <c r="H6" s="1">
        <v>120</v>
      </c>
    </row>
    <row r="7" spans="1:8" x14ac:dyDescent="0.25">
      <c r="A7" s="1" t="s">
        <v>8</v>
      </c>
      <c r="B7" s="1">
        <v>2</v>
      </c>
      <c r="C7" s="1">
        <v>2</v>
      </c>
      <c r="D7" s="1">
        <v>1</v>
      </c>
      <c r="E7" s="1">
        <v>3</v>
      </c>
      <c r="F7" s="4">
        <f t="shared" si="0"/>
        <v>150</v>
      </c>
      <c r="G7" s="1" t="s">
        <v>9</v>
      </c>
      <c r="H7" s="1">
        <v>160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de Respostas 1</vt:lpstr>
      <vt:lpstr>Relatório de Sensibilidade 1</vt:lpstr>
      <vt:lpstr>Relatório de Limites 1</vt:lpstr>
      <vt:lpstr>Mestre Malte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2025-11-14T16:20:08Z</dcterms:created>
  <dcterms:modified xsi:type="dcterms:W3CDTF">2025-11-14T17:22:28Z</dcterms:modified>
</cp:coreProperties>
</file>